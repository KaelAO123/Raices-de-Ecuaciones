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Metodo de Biseccion" sheetId="1" state="visible" r:id="rId1"/>
    <sheet name="Newton" sheetId="2" state="visible" r:id="rId2"/>
    <sheet name="Secante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<sst xmlns="http://schemas.openxmlformats.org/spreadsheetml/2006/main" count="20" uniqueCount="20">
  <si>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>Iteracion</t>
  </si>
  <si>
    <t>a</t>
  </si>
  <si>
    <t>b</t>
  </si>
  <si>
    <t>c</t>
  </si>
  <si>
    <t>f(a)</t>
  </si>
  <si>
    <t>f(b)</t>
  </si>
  <si>
    <t>f(c)</t>
  </si>
  <si>
    <t>signo</t>
  </si>
  <si>
    <t xml:space="preserve">Nuevo a</t>
  </si>
  <si>
    <t xml:space="preserve">Nuevo b</t>
  </si>
  <si>
    <t>Error</t>
  </si>
  <si>
    <t>Cumple</t>
  </si>
  <si>
    <t>x_n</t>
  </si>
  <si>
    <t>f(x_n)</t>
  </si>
  <si>
    <t>f'(x_n)</t>
  </si>
  <si>
    <t>x_n+1</t>
  </si>
  <si>
    <t>error</t>
  </si>
  <si>
    <t>x_(n-1)</t>
  </si>
  <si>
    <t>f(x_n-1)</t>
  </si>
  <si>
    <t>x_(n+1)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</si>
</sst>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3" width="9.140625"/>
  </cols>
  <sheetData>
    <row r="1" ht="14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4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4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14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14.25">
      <c r="A5" s="1"/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</row>
    <row r="6" ht="14.25">
      <c r="A6" s="1"/>
      <c r="B6" s="1">
        <v>0</v>
      </c>
      <c r="C6" s="1">
        <v>5.7000000000000002</v>
      </c>
      <c r="D6" s="1">
        <v>5.7999999999999998</v>
      </c>
      <c r="E6" s="1">
        <f>(D6+C6)/2</f>
        <v>5.75</v>
      </c>
      <c r="F6" s="1">
        <f>3*SIN(0.5*C6)-0.5*C6+2</f>
        <v>0.012434037027633016</v>
      </c>
      <c r="G6" s="1">
        <f>3*SIN(0.5*D6)-0.5*D6+2</f>
        <v>-0.18225201235805244</v>
      </c>
      <c r="H6" s="1">
        <f>3*SIN(0.5*E6)-0.5*E6+2</f>
        <v>-0.084662019909737651</v>
      </c>
      <c r="I6" s="1">
        <f>F6*H6</f>
        <v>-0.0010526906903918815</v>
      </c>
      <c r="J6" s="1">
        <f>IF(I6&lt;0,C6,E6)</f>
        <v>5.7000000000000002</v>
      </c>
      <c r="K6" s="1">
        <f>IF(I6&lt;0,E6,D6)</f>
        <v>5.75</v>
      </c>
      <c r="L6" s="1">
        <f>K6-J6</f>
        <v>0.049999999999999822</v>
      </c>
      <c r="M6" s="1" t="str">
        <f>IF(L6&lt;0.001,"SI","NO")</f>
        <v>NO</v>
      </c>
    </row>
    <row r="7" ht="14.25">
      <c r="A7" s="1"/>
      <c r="B7" s="1">
        <v>1</v>
      </c>
      <c r="C7" s="1">
        <f>J6</f>
        <v>5.7000000000000002</v>
      </c>
      <c r="D7" s="1">
        <f>K6</f>
        <v>5.75</v>
      </c>
      <c r="E7" s="1">
        <f>(D7+C7)/2</f>
        <v>5.7249999999999996</v>
      </c>
      <c r="F7" s="1">
        <f>3*SIN(0.5*C7)-0.5*C7+2</f>
        <v>0.012434037027633016</v>
      </c>
      <c r="G7" s="1">
        <f>3*SIN(0.5*D7)-0.5*D7+2</f>
        <v>-0.084662019909737651</v>
      </c>
      <c r="H7" s="1">
        <f>3*SIN(0.5*E7)-0.5*E7+2</f>
        <v>-0.036049425830649184</v>
      </c>
      <c r="I7" s="1">
        <f>F7*H7</f>
        <v>-0.00044823989560320208</v>
      </c>
      <c r="J7" s="1">
        <f>IF(I7&lt;0,C7,E7)</f>
        <v>5.7000000000000002</v>
      </c>
      <c r="K7" s="1">
        <f>IF(I7&lt;0,E7,D7)</f>
        <v>5.7249999999999996</v>
      </c>
      <c r="L7" s="1">
        <f>K7-J7</f>
        <v>0.024999999999999467</v>
      </c>
      <c r="M7" s="1" t="str">
        <f>IF(L7&lt;0.001,"SI","NO")</f>
        <v>NO</v>
      </c>
    </row>
    <row r="8" ht="14.25">
      <c r="A8" s="1"/>
      <c r="B8" s="1">
        <v>2</v>
      </c>
      <c r="C8" s="1">
        <f>J7</f>
        <v>5.7000000000000002</v>
      </c>
      <c r="D8" s="1">
        <f>K7</f>
        <v>5.7249999999999996</v>
      </c>
      <c r="E8" s="1">
        <f>(D8+C8)/2</f>
        <v>5.7125000000000004</v>
      </c>
      <c r="F8" s="1">
        <f>3*SIN(0.5*C8)-0.5*C8+2</f>
        <v>0.012434037027633016</v>
      </c>
      <c r="G8" s="1">
        <f>3*SIN(0.5*D8)-0.5*D8+2</f>
        <v>-0.036049425830649184</v>
      </c>
      <c r="H8" s="1">
        <f>3*SIN(0.5*E8)-0.5*E8+2</f>
        <v>-0.011791201119282668</v>
      </c>
      <c r="I8" s="1">
        <f>F8*H8</f>
        <v>-0.00014661223131742855</v>
      </c>
      <c r="J8" s="1">
        <f>IF(I8&lt;0,C8,E8)</f>
        <v>5.7000000000000002</v>
      </c>
      <c r="K8" s="1">
        <f>IF(I8&lt;0,E8,D8)</f>
        <v>5.7125000000000004</v>
      </c>
      <c r="L8" s="1">
        <f>K8-J8</f>
        <v>0.012500000000000178</v>
      </c>
      <c r="M8" s="1" t="str">
        <f>IF(L8&lt;0.001,"SI","NO")</f>
        <v>NO</v>
      </c>
    </row>
    <row r="9" ht="14.25">
      <c r="A9" s="1"/>
      <c r="B9" s="1">
        <v>3</v>
      </c>
      <c r="C9" s="1">
        <f>J8</f>
        <v>5.7000000000000002</v>
      </c>
      <c r="D9" s="1">
        <f>K8</f>
        <v>5.7125000000000004</v>
      </c>
      <c r="E9" s="1">
        <f>(D9+C9)/2</f>
        <v>5.7062500000000007</v>
      </c>
      <c r="F9" s="1">
        <f>3*SIN(0.5*C9)-0.5*C9+2</f>
        <v>0.012434037027633016</v>
      </c>
      <c r="G9" s="1">
        <f>3*SIN(0.5*D9)-0.5*D9+2</f>
        <v>-0.011791201119282668</v>
      </c>
      <c r="H9" s="1">
        <f>3*SIN(0.5*E9)-0.5*E9+2</f>
        <v>0.00032558518996861352</v>
      </c>
      <c r="I9" s="1">
        <f>F9*H9</f>
        <v>4.0483383077186702e-06</v>
      </c>
      <c r="J9" s="1">
        <f>IF(I9&lt;0,C9,E9)</f>
        <v>5.7062500000000007</v>
      </c>
      <c r="K9" s="1">
        <f>IF(I9&lt;0,E9,D9)</f>
        <v>5.7125000000000004</v>
      </c>
      <c r="L9" s="1">
        <f>K9-J9</f>
        <v>0.0062499999999996447</v>
      </c>
      <c r="M9" s="1" t="str">
        <f>IF(L9&lt;0.001,"SI","NO")</f>
        <v>NO</v>
      </c>
    </row>
    <row r="10" ht="14.25">
      <c r="A10" s="1"/>
      <c r="B10" s="1">
        <v>4</v>
      </c>
      <c r="C10" s="1">
        <f>J9</f>
        <v>5.7062500000000007</v>
      </c>
      <c r="D10" s="1">
        <f>K9</f>
        <v>5.7125000000000004</v>
      </c>
      <c r="E10" s="1">
        <f>(D10+C10)/2</f>
        <v>5.7093750000000005</v>
      </c>
      <c r="F10" s="1">
        <f>3*SIN(0.5*C10)-0.5*C10+2</f>
        <v>0.00032558518996861352</v>
      </c>
      <c r="G10" s="1">
        <f>3*SIN(0.5*D10)-0.5*D10+2</f>
        <v>-0.011791201119282668</v>
      </c>
      <c r="H10" s="1">
        <f>3*SIN(0.5*E10)-0.5*E10+2</f>
        <v>-0.0057317716419573728</v>
      </c>
      <c r="I10" s="1">
        <f>F10*H10</f>
        <v>-1.8661799589034029e-06</v>
      </c>
      <c r="J10" s="1">
        <f>IF(I10&lt;0,C10,E10)</f>
        <v>5.7062500000000007</v>
      </c>
      <c r="K10" s="1">
        <f>IF(I10&lt;0,E10,D10)</f>
        <v>5.7093750000000005</v>
      </c>
      <c r="L10" s="1">
        <f>K10-J10</f>
        <v>0.0031249999999998224</v>
      </c>
      <c r="M10" s="1" t="str">
        <f>IF(L10&lt;0.001,"SI","NO")</f>
        <v>NO</v>
      </c>
    </row>
    <row r="11" ht="14.25">
      <c r="A11" s="1"/>
      <c r="B11" s="1">
        <v>5</v>
      </c>
      <c r="C11" s="1">
        <f>J10</f>
        <v>5.7062500000000007</v>
      </c>
      <c r="D11" s="1">
        <f>K10</f>
        <v>5.7093750000000005</v>
      </c>
      <c r="E11" s="1">
        <f>(D11+C11)/2</f>
        <v>5.7078125000000011</v>
      </c>
      <c r="F11" s="1">
        <f>3*SIN(0.5*C11)-0.5*C11+2</f>
        <v>0.00032558518996861352</v>
      </c>
      <c r="G11" s="1">
        <f>3*SIN(0.5*D11)-0.5*D11+2</f>
        <v>-0.0057317716419573728</v>
      </c>
      <c r="H11" s="1">
        <f>3*SIN(0.5*E11)-0.5*E11+2</f>
        <v>-0.0027028334593408587</v>
      </c>
      <c r="I11" s="1">
        <f>F11*H11</f>
        <v>-8.8000254531301834e-07</v>
      </c>
      <c r="J11" s="1">
        <f>IF(I11&lt;0,C11,E11)</f>
        <v>5.7062500000000007</v>
      </c>
      <c r="K11" s="1">
        <f>IF(I11&lt;0,E11,D11)</f>
        <v>5.7078125000000011</v>
      </c>
      <c r="L11" s="1">
        <f>K11-J11</f>
        <v>0.0015625000000003553</v>
      </c>
      <c r="M11" s="1" t="str">
        <f>IF(L11&lt;0.001,"SI","NO")</f>
        <v>NO</v>
      </c>
    </row>
    <row r="12" ht="14.25">
      <c r="A12" s="1"/>
      <c r="B12" s="1">
        <v>6</v>
      </c>
      <c r="C12" s="1">
        <f>J11</f>
        <v>5.7062500000000007</v>
      </c>
      <c r="D12" s="1">
        <f>K11</f>
        <v>5.7078125000000011</v>
      </c>
      <c r="E12" s="1">
        <f>(D12+C12)/2</f>
        <v>5.7070312500000009</v>
      </c>
      <c r="F12" s="1">
        <f>3*SIN(0.5*C12)-0.5*C12+2</f>
        <v>0.00032558518996861352</v>
      </c>
      <c r="G12" s="1">
        <f>3*SIN(0.5*D12)-0.5*D12+2</f>
        <v>-0.0027028334593408587</v>
      </c>
      <c r="H12" s="1">
        <f>3*SIN(0.5*E12)-0.5*E12+2</f>
        <v>-0.0011885591072919865</v>
      </c>
      <c r="I12" s="1">
        <f>F12*H12</f>
        <v>-3.8697724273658715e-07</v>
      </c>
      <c r="J12" s="1">
        <f>IF(I12&lt;0,C12,E12)</f>
        <v>5.7062500000000007</v>
      </c>
      <c r="K12" s="1">
        <f>IF(I12&lt;0,E12,D12)</f>
        <v>5.7070312500000009</v>
      </c>
      <c r="L12" s="1">
        <f>K12-J12</f>
        <v>0.00078125000000017764</v>
      </c>
      <c r="M12" s="1" t="str">
        <f>IF(L12&lt;0.001,"SI","NO")</f>
        <v>SI</v>
      </c>
    </row>
    <row r="13" ht="14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ht="14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ht="14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ht="14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ht="14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ht="14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ht="14.25">
      <c r="A19" s="1"/>
      <c r="B19" s="1" t="s">
        <v>0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  <c r="H19" s="1" t="s">
        <v>6</v>
      </c>
      <c r="I19" s="1" t="s">
        <v>7</v>
      </c>
      <c r="J19" s="1" t="s">
        <v>8</v>
      </c>
      <c r="K19" s="1" t="s">
        <v>9</v>
      </c>
      <c r="L19" s="1" t="s">
        <v>10</v>
      </c>
      <c r="M19" s="1" t="s">
        <v>11</v>
      </c>
    </row>
    <row r="20" ht="14.25">
      <c r="A20" s="1"/>
      <c r="B20" s="1">
        <v>0</v>
      </c>
      <c r="C20" s="1">
        <v>0.20000000000000001</v>
      </c>
      <c r="D20" s="1">
        <v>0.40000000000000002</v>
      </c>
      <c r="E20" s="1">
        <f>(D20+C20)/2</f>
        <v>0.30000000000000004</v>
      </c>
      <c r="F20" s="1">
        <f>C20^3-C20^2*EXP(-0.5*C20)-3*C20+1</f>
        <v>0.37180650327856157</v>
      </c>
      <c r="G20" s="1">
        <f>D20^3-D20^2*EXP(-0.5*D20)-3*D20+1</f>
        <v>-0.26699692049247736</v>
      </c>
      <c r="H20" s="1">
        <f>E20^3-E20^2*EXP(-0.5*E20)-3*E20+1</f>
        <v>0.049536282121744657</v>
      </c>
      <c r="I20" s="1">
        <f>F20*H20</f>
        <v>0.018417911841106204</v>
      </c>
      <c r="J20" s="1">
        <f>IF(I20&lt;0,C20,E20)</f>
        <v>0.30000000000000004</v>
      </c>
      <c r="K20" s="1">
        <f>IF(I20&lt;0,E20,D20)</f>
        <v>0.40000000000000002</v>
      </c>
      <c r="L20" s="1">
        <f>K20-J20</f>
        <v>0.099999999999999978</v>
      </c>
      <c r="M20" s="1" t="str">
        <f>IF(L20&lt;0.001,"SI","NO")</f>
        <v>NO</v>
      </c>
    </row>
    <row r="21" ht="14.25">
      <c r="A21" s="1"/>
      <c r="B21" s="1">
        <v>1</v>
      </c>
      <c r="C21" s="1">
        <f>J20</f>
        <v>0.30000000000000004</v>
      </c>
      <c r="D21" s="1">
        <f>K20</f>
        <v>0.40000000000000002</v>
      </c>
      <c r="E21" s="1">
        <f>(D21+C21)/2</f>
        <v>0.35000000000000003</v>
      </c>
      <c r="F21" s="1">
        <f>C21^3-C21^2*EXP(-0.5*C21)-3*C21+1</f>
        <v>0.049536282121744657</v>
      </c>
      <c r="G21" s="1">
        <f>D21^3-D21^2*EXP(-0.5*D21)-3*D21+1</f>
        <v>-0.26699692049247736</v>
      </c>
      <c r="H21" s="1">
        <f>E21^3-E21^2*EXP(-0.5*E21)-3*E21+1</f>
        <v>-0.10995848504422789</v>
      </c>
      <c r="I21" s="1">
        <f>F21*H21</f>
        <v>-0.0054469345368305137</v>
      </c>
      <c r="J21" s="1">
        <f>IF(I21&lt;0,C21,E21)</f>
        <v>0.30000000000000004</v>
      </c>
      <c r="K21" s="1">
        <f>IF(I21&lt;0,E21,D21)</f>
        <v>0.35000000000000003</v>
      </c>
      <c r="L21" s="1">
        <f>K21-J21</f>
        <v>0.049999999999999989</v>
      </c>
      <c r="M21" s="1" t="str">
        <f>IF(L21&lt;0.001,"SI","NO")</f>
        <v>NO</v>
      </c>
    </row>
    <row r="22" ht="14.25">
      <c r="A22" s="1"/>
      <c r="B22" s="1">
        <v>2</v>
      </c>
      <c r="C22" s="1">
        <f>J21</f>
        <v>0.30000000000000004</v>
      </c>
      <c r="D22" s="1">
        <f>K21</f>
        <v>0.35000000000000003</v>
      </c>
      <c r="E22" s="1">
        <f>(D22+C22)/2</f>
        <v>0.32500000000000007</v>
      </c>
      <c r="F22" s="1">
        <f>C22^3-C22^2*EXP(-0.5*C22)-3*C22+1</f>
        <v>0.049536282121744657</v>
      </c>
      <c r="G22" s="1">
        <f>D22^3-D22^2*EXP(-0.5*D22)-3*D22+1</f>
        <v>-0.10995848504422789</v>
      </c>
      <c r="H22" s="1">
        <f>E22^3-E22^2*EXP(-0.5*E22)-3*E22+1</f>
        <v>-0.030454824530057989</v>
      </c>
      <c r="I22" s="1">
        <f>F22*H22</f>
        <v>-0.0015086187798891821</v>
      </c>
      <c r="J22" s="1">
        <f>IF(I22&lt;0,C22,E22)</f>
        <v>0.30000000000000004</v>
      </c>
      <c r="K22" s="1">
        <f>IF(I22&lt;0,E22,D22)</f>
        <v>0.32500000000000007</v>
      </c>
      <c r="L22" s="1">
        <f>K22-J22</f>
        <v>0.025000000000000022</v>
      </c>
      <c r="M22" s="1" t="str">
        <f>IF(L22&lt;0.001,"SI","NO")</f>
        <v>NO</v>
      </c>
    </row>
    <row r="23" ht="14.25">
      <c r="A23" s="1"/>
      <c r="B23" s="1">
        <v>3</v>
      </c>
      <c r="C23" s="1">
        <f>J22</f>
        <v>0.30000000000000004</v>
      </c>
      <c r="D23" s="1">
        <f>K22</f>
        <v>0.32500000000000007</v>
      </c>
      <c r="E23" s="1">
        <f>(D23+C23)/2</f>
        <v>0.31250000000000006</v>
      </c>
      <c r="F23" s="1">
        <f>C23^3-C23^2*EXP(-0.5*C23)-3*C23+1</f>
        <v>0.049536282121744657</v>
      </c>
      <c r="G23" s="1">
        <f>D23^3-D23^2*EXP(-0.5*D23)-3*D23+1</f>
        <v>-0.030454824530057989</v>
      </c>
      <c r="H23" s="1">
        <f>E23^3-E23^2*EXP(-0.5*E23)-3*E23+1</f>
        <v>0.0094877610051342653</v>
      </c>
      <c r="I23" s="1">
        <f>F23*H23</f>
        <v>0.00046998840585401865</v>
      </c>
      <c r="J23" s="1">
        <f>IF(I23&lt;0,C23,E23)</f>
        <v>0.31250000000000006</v>
      </c>
      <c r="K23" s="1">
        <f>IF(I23&lt;0,E23,D23)</f>
        <v>0.32500000000000007</v>
      </c>
      <c r="L23" s="1">
        <f>K23-J23</f>
        <v>0.012500000000000011</v>
      </c>
      <c r="M23" s="1" t="str">
        <f>IF(L23&lt;0.001,"SI","NO")</f>
        <v>NO</v>
      </c>
    </row>
    <row r="24" ht="14.25">
      <c r="A24" s="1"/>
      <c r="B24" s="1">
        <v>4</v>
      </c>
      <c r="C24" s="1">
        <f>J23</f>
        <v>0.31250000000000006</v>
      </c>
      <c r="D24" s="1">
        <f>K23</f>
        <v>0.32500000000000007</v>
      </c>
      <c r="E24" s="1">
        <f>(D24+C24)/2</f>
        <v>0.31875000000000009</v>
      </c>
      <c r="F24" s="1">
        <f>C24^3-C24^2*EXP(-0.5*C24)-3*C24+1</f>
        <v>0.0094877610051342653</v>
      </c>
      <c r="G24" s="1">
        <f>D24^3-D24^2*EXP(-0.5*D24)-3*D24+1</f>
        <v>-0.030454824530057989</v>
      </c>
      <c r="H24" s="1">
        <f>E24^3-E24^2*EXP(-0.5*E24)-3*E24+1</f>
        <v>-0.010497771263045408</v>
      </c>
      <c r="I24" s="1">
        <f>F24*H24</f>
        <v>-9.9600344830341305e-05</v>
      </c>
      <c r="J24" s="1">
        <f>IF(I24&lt;0,C24,E24)</f>
        <v>0.31250000000000006</v>
      </c>
      <c r="K24" s="1">
        <f>IF(I24&lt;0,E24,D24)</f>
        <v>0.31875000000000009</v>
      </c>
      <c r="L24" s="1">
        <f>K24-J24</f>
        <v>0.0062500000000000333</v>
      </c>
      <c r="M24" s="1" t="str">
        <f>IF(L24&lt;0.001,"SI","NO")</f>
        <v>NO</v>
      </c>
    </row>
    <row r="25" ht="14.25">
      <c r="A25" s="1"/>
      <c r="B25" s="1">
        <v>5</v>
      </c>
      <c r="C25" s="1">
        <f>J24</f>
        <v>0.31250000000000006</v>
      </c>
      <c r="D25" s="1">
        <f>K24</f>
        <v>0.31875000000000009</v>
      </c>
      <c r="E25" s="1">
        <f>(D25+C25)/2</f>
        <v>0.31562500000000004</v>
      </c>
      <c r="F25" s="1">
        <f>C25^3-C25^2*EXP(-0.5*C25)-3*C25+1</f>
        <v>0.0094877610051342653</v>
      </c>
      <c r="G25" s="1">
        <f>D25^3-D25^2*EXP(-0.5*D25)-3*D25+1</f>
        <v>-0.010497771263045408</v>
      </c>
      <c r="H25" s="1">
        <f>E25^3-E25^2*EXP(-0.5*E25)-3*E25+1</f>
        <v>-0.00050844044709497105</v>
      </c>
      <c r="I25" s="1">
        <f>F25*H25</f>
        <v>-4.8239614473806976e-06</v>
      </c>
      <c r="J25" s="1">
        <f>IF(I25&lt;0,C25,E25)</f>
        <v>0.31250000000000006</v>
      </c>
      <c r="K25" s="1">
        <f>IF(I25&lt;0,E25,D25)</f>
        <v>0.31562500000000004</v>
      </c>
      <c r="L25" s="1">
        <f>K25-J25</f>
        <v>0.0031249999999999889</v>
      </c>
      <c r="M25" s="1" t="str">
        <f>IF(L25&lt;0.001,"SI","NO")</f>
        <v>NO</v>
      </c>
    </row>
    <row r="26" ht="14.25">
      <c r="A26" s="1"/>
      <c r="B26" s="1">
        <v>6</v>
      </c>
      <c r="C26" s="1">
        <f>J25</f>
        <v>0.31250000000000006</v>
      </c>
      <c r="D26" s="1">
        <f>K25</f>
        <v>0.31562500000000004</v>
      </c>
      <c r="E26" s="1">
        <f>(D26+C26)/2</f>
        <v>0.31406250000000002</v>
      </c>
      <c r="F26" s="1">
        <f>C26^3-C26^2*EXP(-0.5*C26)-3*C26+1</f>
        <v>0.0094877610051342653</v>
      </c>
      <c r="G26" s="1">
        <f>D26^3-D26^2*EXP(-0.5*D26)-3*D26+1</f>
        <v>-0.00050844044709497105</v>
      </c>
      <c r="H26" s="1">
        <f>E26^3-E26^2*EXP(-0.5*E26)-3*E26+1</f>
        <v>0.004488817031078618</v>
      </c>
      <c r="I26" s="1">
        <f>F26*H26</f>
        <v>4.258882318665028e-05</v>
      </c>
      <c r="J26" s="1">
        <f>IF(I26&lt;0,C26,E26)</f>
        <v>0.31406250000000002</v>
      </c>
      <c r="K26" s="1">
        <f>IF(I26&lt;0,E26,D26)</f>
        <v>0.31562500000000004</v>
      </c>
      <c r="L26" s="1">
        <f>K26-J26</f>
        <v>0.0015625000000000222</v>
      </c>
      <c r="M26" s="1" t="str">
        <f>IF(L26&lt;0.001,"SI","NO")</f>
        <v>NO</v>
      </c>
    </row>
    <row r="27" ht="14.25">
      <c r="A27" s="1"/>
      <c r="B27" s="1">
        <v>7</v>
      </c>
      <c r="C27" s="1">
        <f>J26</f>
        <v>0.31406250000000002</v>
      </c>
      <c r="D27" s="1">
        <f>K26</f>
        <v>0.31562500000000004</v>
      </c>
      <c r="E27" s="1">
        <f>(D27+C27)/2</f>
        <v>0.31484375000000003</v>
      </c>
      <c r="F27" s="1">
        <f>C27^3-C27^2*EXP(-0.5*C27)-3*C27+1</f>
        <v>0.004488817031078618</v>
      </c>
      <c r="G27" s="1">
        <f>D27^3-D27^2*EXP(-0.5*D27)-3*D27+1</f>
        <v>-0.00050844044709497105</v>
      </c>
      <c r="H27" s="1">
        <f>E27^3-E27^2*EXP(-0.5*E27)-3*E27+1</f>
        <v>0.001989975531772159</v>
      </c>
      <c r="I27" s="1">
        <f>F27*H27</f>
        <v>8.9326360584485971e-06</v>
      </c>
      <c r="J27" s="1">
        <f>IF(I27&lt;0,C27,E27)</f>
        <v>0.31484375000000003</v>
      </c>
      <c r="K27" s="1">
        <f>IF(I27&lt;0,E27,D27)</f>
        <v>0.31562500000000004</v>
      </c>
      <c r="L27" s="1">
        <f>K27-J27</f>
        <v>0.0007812500000000111</v>
      </c>
      <c r="M27" s="1" t="str">
        <f>IF(L27&lt;0.001,"SI","NO")</f>
        <v>SI</v>
      </c>
    </row>
    <row r="28" ht="14.25"/>
    <row r="29" ht="14.25"/>
    <row r="30" ht="14.25"/>
    <row r="31" ht="14.25"/>
    <row r="32" ht="14.25"/>
    <row r="33" ht="14.25"/>
    <row r="34" ht="14.25"/>
    <row r="35" ht="14.25"/>
    <row r="36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4" max="4" width="11.421875"/>
    <col bestFit="1" min="7" max="7" width="10.8515625"/>
  </cols>
  <sheetData>
    <row r="3" ht="14.25"/>
    <row r="5" ht="14.25">
      <c r="B5" t="s">
        <v>0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11</v>
      </c>
    </row>
    <row r="6" ht="14.25">
      <c r="B6">
        <v>0</v>
      </c>
      <c r="C6">
        <v>5.7000000000000002</v>
      </c>
      <c r="D6">
        <f>3*SIN(0.5*C6)-0.5*C6+2</f>
        <v>0.012434037027633016</v>
      </c>
      <c r="E6" s="1">
        <f>3*COS(0.5*C6)*0.5-0.5</f>
        <v>-1.9366808563296356</v>
      </c>
      <c r="F6">
        <f>C6-D6/E6</f>
        <v>5.7064202818894998</v>
      </c>
      <c r="G6">
        <f>ABS(F6-C6)</f>
        <v>0.0064202818894996128</v>
      </c>
      <c r="H6" t="str">
        <f>IF(G6&lt;10^-6,"SI","NO")</f>
        <v>NO</v>
      </c>
    </row>
    <row r="7" ht="14.25">
      <c r="B7">
        <v>1</v>
      </c>
      <c r="C7">
        <f>F6</f>
        <v>5.7064202818894998</v>
      </c>
      <c r="D7">
        <f>3*SIN(0.5*C7)-0.5*C7+2</f>
        <v>-4.427847626331527e-06</v>
      </c>
      <c r="E7" s="1">
        <f>3*COS(0.5*C7)*0.5-0.5</f>
        <v>-1.9380577188640959</v>
      </c>
      <c r="F7">
        <f>C7-D7/E7</f>
        <v>5.7064179972064464</v>
      </c>
      <c r="G7">
        <f>ABS(F7-C7)</f>
        <v>2.2846830534106743e-06</v>
      </c>
      <c r="H7" t="str">
        <f>IF(G7&lt;10^-6,"SI","NO")</f>
        <v>NO</v>
      </c>
    </row>
    <row r="8" ht="14.25">
      <c r="B8">
        <v>2</v>
      </c>
      <c r="C8">
        <f>F7</f>
        <v>5.7064179972064464</v>
      </c>
      <c r="D8">
        <f>3*SIN(0.5*C8)-0.5*C8+2</f>
        <v>-5.559996907322784e-13</v>
      </c>
      <c r="E8" s="1">
        <f>3*COS(0.5*C8)*0.5-0.5</f>
        <v>-1.9380572315369993</v>
      </c>
      <c r="F8">
        <f>C8-D8/E8</f>
        <v>5.7064179972061595</v>
      </c>
      <c r="G8">
        <f>ABS(F8-C8)</f>
        <v>2.8688162956314045e-13</v>
      </c>
      <c r="H8" t="str">
        <f>IF(G8&lt;10^-6,"SI","NO")</f>
        <v>SI</v>
      </c>
    </row>
    <row r="9" ht="14.25"/>
    <row r="10" ht="14.25"/>
    <row r="11" ht="14.25"/>
    <row r="12" ht="14.25"/>
    <row r="13" ht="14.25"/>
    <row r="14" ht="14.25">
      <c r="B14" t="s">
        <v>0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11</v>
      </c>
    </row>
    <row r="15" ht="14.25">
      <c r="B15" s="1">
        <v>0</v>
      </c>
      <c r="C15" s="1">
        <v>10</v>
      </c>
      <c r="D15" s="1">
        <f>C15^3-C15^2*EXP(-0.5*C15)-3*C15+1</f>
        <v>970.32620530009149</v>
      </c>
      <c r="E15" s="1">
        <f>-2*C15*EXP(-0.5*C15)+0.5*C15^2*EXP(-0.5*C15)+3*C15^2-3</f>
        <v>297.20213840997258</v>
      </c>
      <c r="F15" s="1">
        <f>C15-D15/E15</f>
        <v>6.7351304721718233</v>
      </c>
      <c r="G15" s="1">
        <f>ABS(F15-C15)</f>
        <v>3.2648695278281767</v>
      </c>
      <c r="H15" s="1" t="str">
        <f>IF(G15&lt;10^-6,"SI","NO")</f>
        <v>NO</v>
      </c>
    </row>
    <row r="16" ht="14.25">
      <c r="B16" s="1">
        <v>1</v>
      </c>
      <c r="C16">
        <f>F15</f>
        <v>6.7351304721718233</v>
      </c>
      <c r="D16" s="1">
        <f>C16^3-C16^2*EXP(-0.5*C16)-3*C16+1</f>
        <v>284.74969410128648</v>
      </c>
      <c r="E16" s="1">
        <f>-2*C16*EXP(-0.5*C16)+0.5*C16^2*EXP(-0.5*C16)+3*C16^2-3</f>
        <v>133.40347326606854</v>
      </c>
      <c r="F16" s="1">
        <f>C16-D16/E16</f>
        <v>4.6006306189831196</v>
      </c>
      <c r="G16" s="1">
        <f>ABS(F16-C16)</f>
        <v>2.1344998531887036</v>
      </c>
      <c r="H16" s="1" t="str">
        <f>IF(G16&lt;10^-6,"SI","NO")</f>
        <v>NO</v>
      </c>
    </row>
    <row r="17" ht="14.25">
      <c r="B17" s="1">
        <v>2</v>
      </c>
      <c r="C17" s="1">
        <f>F16</f>
        <v>4.6006306189831196</v>
      </c>
      <c r="D17" s="1">
        <f>C17^3-C17^2*EXP(-0.5*C17)-3*C17+1</f>
        <v>82.452755479914529</v>
      </c>
      <c r="E17" s="1">
        <f>-2*C17*EXP(-0.5*C17)+0.5*C17^2*EXP(-0.5*C17)+3*C17^2-3</f>
        <v>60.635884216293057</v>
      </c>
      <c r="F17" s="1">
        <f>C17-D17/E17</f>
        <v>3.2408292976104658</v>
      </c>
      <c r="G17" s="1">
        <f>ABS(F17-C17)</f>
        <v>1.3598013213726539</v>
      </c>
      <c r="H17" s="1" t="str">
        <f>IF(G17&lt;10^-6,"SI","NO")</f>
        <v>NO</v>
      </c>
    </row>
    <row r="18" ht="14.25">
      <c r="C18" s="1">
        <f>F17</f>
        <v>3.2408292976104658</v>
      </c>
      <c r="D18" s="1">
        <f>C18^3-C18^2*EXP(-0.5*C18)-3*C18+1</f>
        <v>23.23819637832041</v>
      </c>
      <c r="E18" s="1">
        <f>-2*C18*EXP(-0.5*C18)+0.5*C18^2*EXP(-0.5*C18)+3*C18^2-3</f>
        <v>28.265575228506723</v>
      </c>
      <c r="F18" s="1">
        <f>C18-D18/E18</f>
        <v>2.4186915491140559</v>
      </c>
      <c r="G18" s="1">
        <f>ABS(F18-C18)</f>
        <v>0.82213774849640986</v>
      </c>
      <c r="H18" s="1" t="str">
        <f>IF(G18&lt;10^-6,"SI","NO")</f>
        <v>NO</v>
      </c>
    </row>
    <row r="19" ht="14.25">
      <c r="C19" s="1">
        <f>F18</f>
        <v>2.4186915491140559</v>
      </c>
      <c r="D19" s="1">
        <f>C19^3-C19^2*EXP(-0.5*C19)-3*C19+1</f>
        <v>6.1478210879242052</v>
      </c>
      <c r="E19" s="1">
        <f>-2*C19*EXP(-0.5*C19)+0.5*C19^2*EXP(-0.5*C19)+3*C19^2-3</f>
        <v>13.97957605276947</v>
      </c>
      <c r="F19" s="1">
        <f>C19-D19/E19</f>
        <v>1.97891990906448</v>
      </c>
      <c r="G19" s="1">
        <f>ABS(F19-C19)</f>
        <v>0.43977164004957592</v>
      </c>
      <c r="H19" s="1" t="str">
        <f>IF(G19&lt;10^-6,"SI","NO")</f>
        <v>NO</v>
      </c>
    </row>
    <row r="20" ht="14.25">
      <c r="C20" s="1">
        <f>F19</f>
        <v>1.97891990906448</v>
      </c>
      <c r="D20" s="1">
        <f>C20^3-C20^2*EXP(-0.5*C20)-3*C20+1</f>
        <v>1.3570095814429148</v>
      </c>
      <c r="E20" s="1">
        <f>-2*C20*EXP(-0.5*C20)+0.5*C20^2*EXP(-0.5*C20)+3*C20^2-3</f>
        <v>8.0048997958339658</v>
      </c>
      <c r="F20" s="1">
        <f>C20-D20/E20</f>
        <v>1.8093975395091295</v>
      </c>
      <c r="G20" s="1">
        <f>ABS(F20-C20)</f>
        <v>0.16952236955535049</v>
      </c>
      <c r="H20" s="1" t="str">
        <f>IF(G20&lt;10^-6,"SI","NO")</f>
        <v>NO</v>
      </c>
    </row>
    <row r="21" ht="14.25">
      <c r="C21" s="1">
        <f>F20</f>
        <v>1.8093975395091295</v>
      </c>
      <c r="D21" s="1">
        <f>C21^3-C21^2*EXP(-0.5*C21)-3*C21+1</f>
        <v>0.17079262053536048</v>
      </c>
      <c r="E21" s="1">
        <f>-2*C21*EXP(-0.5*C21)+0.5*C21^2*EXP(-0.5*C21)+3*C21^2-3</f>
        <v>6.0197814157444043</v>
      </c>
      <c r="F21" s="1">
        <f>C21-D21/E21</f>
        <v>1.7810256421361348</v>
      </c>
      <c r="G21" s="1">
        <f>ABS(F21-C21)</f>
        <v>0.028371897372994725</v>
      </c>
      <c r="H21" s="1" t="str">
        <f>IF(G21&lt;10^-6,"SI","NO")</f>
        <v>NO</v>
      </c>
    </row>
    <row r="22" ht="14.25">
      <c r="C22" s="1">
        <f>F21</f>
        <v>1.7810256421361348</v>
      </c>
      <c r="D22" s="1">
        <f>C22^3-C22^2*EXP(-0.5*C22)-3*C22+1</f>
        <v>0.0044759255766013695</v>
      </c>
      <c r="E22" s="1">
        <f>-2*C22*EXP(-0.5*C22)+0.5*C22^2*EXP(-0.5*C22)+3*C22^2-3</f>
        <v>5.7051069628774247</v>
      </c>
      <c r="F22" s="1">
        <f>C22-D22/E22</f>
        <v>1.7802410949566121</v>
      </c>
      <c r="G22" s="1">
        <f>ABS(F22-C22)</f>
        <v>0.00078454717952269881</v>
      </c>
      <c r="H22" s="1" t="str">
        <f>IF(G22&lt;10^-6,"SI","NO")</f>
        <v>NO</v>
      </c>
    </row>
    <row r="23" ht="14.25">
      <c r="C23" s="1">
        <f>F22</f>
        <v>1.7802410949566121</v>
      </c>
      <c r="D23" s="1">
        <f>C23^3-C23^2*EXP(-0.5*C23)-3*C23+1</f>
        <v>3.3853762131386134e-06</v>
      </c>
      <c r="E23" s="1">
        <f>-2*C23*EXP(-0.5*C23)+0.5*C23^2*EXP(-0.5*C23)+3*C23^2-3</f>
        <v>5.6964774683919703</v>
      </c>
      <c r="F23" s="1">
        <f>C23-D23/E23</f>
        <v>1.7802405006636948</v>
      </c>
      <c r="G23" s="1">
        <f>ABS(F23-C23)</f>
        <v>5.942929173219369e-07</v>
      </c>
      <c r="H23" s="1" t="str">
        <f>IF(G23&lt;10^-6,"SI","NO")</f>
        <v>SI</v>
      </c>
    </row>
    <row r="24" ht="14.25">
      <c r="C24" s="1">
        <f>F23</f>
        <v>1.7802405006636948</v>
      </c>
      <c r="D24" s="1">
        <f>C24^3-C24^2*EXP(-0.5*C24)-3*C24+1</f>
        <v>1.9424462038841739e-12</v>
      </c>
      <c r="E24" s="1">
        <f>-2*C24*EXP(-0.5*C24)+0.5*C24^2*EXP(-0.5*C24)+3*C24^2-3</f>
        <v>5.6964709330364833</v>
      </c>
      <c r="F24" s="1">
        <f>C24-D24/E24</f>
        <v>1.7802405006633537</v>
      </c>
      <c r="G24" s="1">
        <f>ABS(F24-C24)</f>
        <v>3.4106051316484809e-13</v>
      </c>
      <c r="H24" s="1" t="str">
        <f>IF(G24&lt;10^-6,"SI","NO")</f>
        <v>SI</v>
      </c>
    </row>
    <row r="25" ht="14.25">
      <c r="C25" s="1">
        <f>F24</f>
        <v>1.7802405006633537</v>
      </c>
      <c r="D25" s="1">
        <f>C25^3-C25^2*EXP(-0.5*C25)-3*C25+1</f>
        <v>-8.8817841970012523e-16</v>
      </c>
      <c r="E25" s="1">
        <f>-2*C25*EXP(-0.5*C25)+0.5*C25^2*EXP(-0.5*C25)+3*C25^2-3</f>
        <v>5.6964709330327334</v>
      </c>
      <c r="F25" s="1">
        <f>C25-D25/E25</f>
        <v>1.7802405006633539</v>
      </c>
      <c r="G25" s="1">
        <f>ABS(F25-C25)</f>
        <v>2.2204460492503131e-16</v>
      </c>
      <c r="H25" s="1" t="str">
        <f>IF(G25&lt;10^-6,"SI","NO")</f>
        <v>SI</v>
      </c>
    </row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8" zoomScale="100" workbookViewId="0">
      <selection activeCell="A1" activeCellId="0" sqref="A1"/>
    </sheetView>
  </sheetViews>
  <sheetFormatPr defaultRowHeight="14.25"/>
  <cols>
    <col customWidth="1" min="1" max="15" width="9.140625"/>
  </cols>
  <sheetData>
    <row r="1" ht="14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4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4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14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14.25">
      <c r="A5" s="1"/>
      <c r="B5" s="1" t="s">
        <v>0</v>
      </c>
      <c r="C5" s="2" t="s">
        <v>12</v>
      </c>
      <c r="D5" s="2" t="s">
        <v>17</v>
      </c>
      <c r="E5" s="2" t="s">
        <v>13</v>
      </c>
      <c r="F5" t="s">
        <v>18</v>
      </c>
      <c r="G5" s="2" t="s">
        <v>19</v>
      </c>
      <c r="H5" s="2" t="s">
        <v>16</v>
      </c>
      <c r="I5" t="s">
        <v>11</v>
      </c>
      <c r="N5" s="1"/>
      <c r="O5" s="1"/>
    </row>
    <row r="6" ht="14.25">
      <c r="A6" s="1"/>
      <c r="B6">
        <v>0</v>
      </c>
      <c r="C6">
        <v>5.7999999999999998</v>
      </c>
      <c r="D6">
        <v>5.7000000000000002</v>
      </c>
      <c r="E6" s="1">
        <f>D6^3-D6^2*EXP(-0.5*D6)-3*D6+1</f>
        <v>167.21363801477651</v>
      </c>
      <c r="F6">
        <f>3*SIN(0.5*D6)-0.5*D6+2</f>
        <v>0.012434037027633016</v>
      </c>
      <c r="G6">
        <f>C6-E6*(C6-D6)/(E6-F6)</f>
        <v>5.6999925634285331</v>
      </c>
      <c r="H6">
        <f>ABS(G6-C6)</f>
        <v>0.10000743657146671</v>
      </c>
      <c r="I6" s="1" t="str">
        <f>IF(H6&lt;10^-6,"SI","NO")</f>
        <v>NO</v>
      </c>
      <c r="N6" s="1"/>
      <c r="O6" s="1"/>
    </row>
    <row r="7" ht="14.25">
      <c r="A7" s="1"/>
      <c r="B7">
        <v>1</v>
      </c>
      <c r="C7">
        <f>G6</f>
        <v>5.6999925634285331</v>
      </c>
      <c r="D7">
        <f>C6</f>
        <v>5.7999999999999998</v>
      </c>
      <c r="E7">
        <f>3*SIN(0.5*C7)-0.5*C7+2</f>
        <v>0.012448439287268132</v>
      </c>
      <c r="F7">
        <f>3*SIN(0.5*D7)-0.5*D7+2</f>
        <v>-0.18225201235805244</v>
      </c>
      <c r="G7">
        <f>C7-E7*(C7-D7)/(E7-F7)</f>
        <v>5.7063866754704664</v>
      </c>
      <c r="H7">
        <f>ABS(G7-C7)</f>
        <v>0.0063941120419332975</v>
      </c>
      <c r="I7" s="1" t="str">
        <f>IF(H7&lt;10^-6,"SI","NO")</f>
        <v>NO</v>
      </c>
      <c r="N7" s="1"/>
      <c r="O7" s="1"/>
    </row>
    <row r="8" ht="14.25">
      <c r="A8" s="1"/>
      <c r="B8">
        <v>2</v>
      </c>
      <c r="C8">
        <f>G7</f>
        <v>5.7063866754704664</v>
      </c>
      <c r="D8">
        <f>C7</f>
        <v>5.6999925634285331</v>
      </c>
      <c r="E8">
        <f>3*SIN(0.5*C8)-0.5*C8+2</f>
        <v>6.070321173234916e-05</v>
      </c>
      <c r="F8">
        <f>3*SIN(0.5*D8)-0.5*D8+2</f>
        <v>0.012448439287268132</v>
      </c>
      <c r="G8">
        <f>C8-E8*(C8-D8)/(E8-F8)</f>
        <v>5.706418008325377</v>
      </c>
      <c r="H8">
        <f>ABS(G8-C8)</f>
        <v>3.1332854910637309e-05</v>
      </c>
      <c r="I8" s="1" t="str">
        <f>IF(H8&lt;10^-6,"SI","NO")</f>
        <v>NO</v>
      </c>
      <c r="N8" s="1"/>
      <c r="O8" s="1"/>
    </row>
    <row r="9" ht="14.25">
      <c r="A9" s="1"/>
      <c r="N9" s="1"/>
      <c r="O9" s="1"/>
    </row>
    <row r="10" ht="14.25">
      <c r="A10" s="1"/>
      <c r="N10" s="1"/>
      <c r="O10" s="1"/>
    </row>
    <row r="11" ht="14.25">
      <c r="A11" s="1"/>
      <c r="N11" s="1"/>
      <c r="O11" s="1"/>
    </row>
    <row r="12" ht="14.25">
      <c r="A12" s="1"/>
      <c r="N12" s="1"/>
      <c r="O12" s="1"/>
    </row>
    <row r="13" ht="14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ht="14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14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ht="14.25">
      <c r="A16" s="1"/>
      <c r="B16" s="1" t="s">
        <v>0</v>
      </c>
      <c r="C16" s="1" t="s">
        <v>12</v>
      </c>
      <c r="D16" s="1" t="s">
        <v>17</v>
      </c>
      <c r="E16" s="1" t="s">
        <v>13</v>
      </c>
      <c r="F16" t="s">
        <v>18</v>
      </c>
      <c r="G16" s="1" t="s">
        <v>19</v>
      </c>
      <c r="H16" s="1" t="s">
        <v>16</v>
      </c>
      <c r="I16" t="s">
        <v>11</v>
      </c>
      <c r="J16" s="1"/>
      <c r="K16" s="1"/>
      <c r="L16" s="1"/>
      <c r="M16" s="1"/>
      <c r="N16" s="1"/>
      <c r="O16" s="1"/>
    </row>
    <row r="17" ht="14.25">
      <c r="A17" s="1"/>
      <c r="B17" s="1">
        <v>0</v>
      </c>
      <c r="C17" s="1">
        <v>5.7999999999999998</v>
      </c>
      <c r="D17" s="1">
        <v>5.7000000000000002</v>
      </c>
      <c r="E17" s="1">
        <f>C17^3-C17^2*EXP(-0.5*C17)-3*C17+1</f>
        <v>176.86101887730243</v>
      </c>
      <c r="F17" s="1">
        <f>D17^3-D17^2*EXP(-0.5*D17)-3*D17+1</f>
        <v>167.21363801477651</v>
      </c>
      <c r="G17" s="1">
        <f>C17-E17*(C17-D17)/(E17-F17)</f>
        <v>3.9667457582783223</v>
      </c>
      <c r="H17" s="1">
        <f>ABS(G17-C17)</f>
        <v>1.8332542417216775</v>
      </c>
      <c r="I17" s="1" t="str">
        <f>IF(H17&lt;10^-6,"SI","NO")</f>
        <v>NO</v>
      </c>
      <c r="J17" s="1"/>
      <c r="K17" s="1"/>
      <c r="L17" s="1"/>
      <c r="M17" s="1"/>
      <c r="N17" s="1"/>
      <c r="O17" s="1"/>
    </row>
    <row r="18" ht="14.25">
      <c r="A18" s="1"/>
      <c r="B18" s="1">
        <v>1</v>
      </c>
      <c r="C18" s="1">
        <f>G17</f>
        <v>3.9667457582783223</v>
      </c>
      <c r="D18" s="1">
        <f>C17</f>
        <v>5.7999999999999998</v>
      </c>
      <c r="E18" s="1">
        <f>C18^3-C18^2*EXP(-0.5*C18)-3*C18+1</f>
        <v>49.351578441063651</v>
      </c>
      <c r="F18" s="1">
        <f>D18^3-D18^2*EXP(-0.5*D18)-3*D18+1</f>
        <v>176.86101887730243</v>
      </c>
      <c r="G18" s="1">
        <f>C18-E18*(C18-D18)/(E18-F18)</f>
        <v>3.2571983694480684</v>
      </c>
      <c r="H18" s="1">
        <f>ABS(G18-C18)</f>
        <v>0.70954738883025392</v>
      </c>
      <c r="I18" s="1" t="str">
        <f>IF(H18&lt;10^-6,"SI","NO")</f>
        <v>NO</v>
      </c>
      <c r="J18" s="1"/>
      <c r="K18" s="1"/>
      <c r="L18" s="1"/>
      <c r="M18" s="1"/>
      <c r="N18" s="1"/>
      <c r="O18" s="1"/>
    </row>
    <row r="19" ht="14.25">
      <c r="A19" s="1"/>
      <c r="B19" s="1">
        <v>2</v>
      </c>
      <c r="C19" s="1">
        <f>G18</f>
        <v>3.2571983694480684</v>
      </c>
      <c r="D19" s="1">
        <f>C18</f>
        <v>3.9667457582783223</v>
      </c>
      <c r="E19" s="1">
        <f>C19^3-C19^2*EXP(-0.5*C19)-3*C19+1</f>
        <v>23.703536208709213</v>
      </c>
      <c r="F19" s="1">
        <f>D19^3-D19^2*EXP(-0.5*D19)-3*D19+1</f>
        <v>49.351578441063651</v>
      </c>
      <c r="G19" s="1">
        <f>C19-E19*(C19-D19)/(E19-F19)</f>
        <v>2.6014453076523232</v>
      </c>
      <c r="H19" s="1">
        <f>ABS(G19-C19)</f>
        <v>0.65575306179574522</v>
      </c>
      <c r="I19" s="1" t="str">
        <f>IF(H19&lt;10^-6,"SI","NO")</f>
        <v>NO</v>
      </c>
      <c r="J19" s="1"/>
      <c r="K19" s="1"/>
      <c r="L19" s="1"/>
      <c r="M19" s="1"/>
      <c r="N19" s="1"/>
      <c r="O19" s="1"/>
    </row>
    <row r="20" ht="14.25">
      <c r="A20" s="1"/>
      <c r="B20" s="1">
        <v>3</v>
      </c>
      <c r="C20" s="1">
        <f>G19</f>
        <v>2.6014453076523232</v>
      </c>
      <c r="D20" s="1">
        <f>C19</f>
        <v>3.2571983694480684</v>
      </c>
      <c r="E20" s="1">
        <f>C20^3-C20^2*EXP(-0.5*C20)-3*C20+1</f>
        <v>8.9579598377222531</v>
      </c>
      <c r="F20" s="1">
        <f>D20^3-D20^2*EXP(-0.5*D20)-3*D20+1</f>
        <v>23.703536208709213</v>
      </c>
      <c r="G20" s="1">
        <f>C20-E20*(C20-D20)/(E20-F20)</f>
        <v>2.2030743356916993</v>
      </c>
      <c r="H20" s="1">
        <f>ABS(G20-C20)</f>
        <v>0.39837097196062388</v>
      </c>
      <c r="I20" s="1" t="str">
        <f>IF(H20&lt;10^-6,"SI","NO")</f>
        <v>NO</v>
      </c>
      <c r="J20" s="1"/>
      <c r="K20" s="1"/>
      <c r="L20" s="1"/>
      <c r="M20" s="1"/>
      <c r="N20" s="1"/>
      <c r="O20" s="1"/>
    </row>
    <row r="21" ht="14.25">
      <c r="A21" s="1"/>
      <c r="B21" s="1">
        <v>4</v>
      </c>
      <c r="C21" s="1">
        <f>G20</f>
        <v>2.2030743356916993</v>
      </c>
      <c r="D21" s="1">
        <f>C20</f>
        <v>2.6014453076523232</v>
      </c>
      <c r="E21" s="1">
        <f>C21^3-C21^2*EXP(-0.5*C21)-3*C21+1</f>
        <v>3.4703583359790819</v>
      </c>
      <c r="F21" s="1">
        <f>D21^3-D21^2*EXP(-0.5*D21)-3*D21+1</f>
        <v>8.9579598377222531</v>
      </c>
      <c r="G21" s="1">
        <f>C21-E21*(C21-D21)/(E21-F21)</f>
        <v>1.9511445949996167</v>
      </c>
      <c r="H21" s="1">
        <f>ABS(G21-C21)</f>
        <v>0.25192974069208263</v>
      </c>
      <c r="I21" s="1" t="str">
        <f>IF(H21&lt;10^-6,"SI","NO")</f>
        <v>NO</v>
      </c>
      <c r="J21" s="1"/>
      <c r="K21" s="1"/>
      <c r="L21" s="1"/>
      <c r="M21" s="1"/>
      <c r="N21" s="1"/>
      <c r="O21" s="1"/>
    </row>
    <row r="22" ht="14.25">
      <c r="A22" s="1"/>
      <c r="B22" s="1">
        <v>5</v>
      </c>
      <c r="C22" s="1">
        <f>G21</f>
        <v>1.9511445949996167</v>
      </c>
      <c r="D22" s="1">
        <f>C21</f>
        <v>2.2030743356916993</v>
      </c>
      <c r="E22" s="1">
        <f>C22^3-C22^2*EXP(-0.5*C22)-3*C22+1</f>
        <v>1.1393692329314318</v>
      </c>
      <c r="F22" s="1">
        <f>D22^3-D22^2*EXP(-0.5*D22)-3*D22+1</f>
        <v>3.4703583359790819</v>
      </c>
      <c r="G22" s="1">
        <f>C22-E22*(C22-D22)/(E22-F22)</f>
        <v>1.8280033091696395</v>
      </c>
      <c r="H22" s="1">
        <f>ABS(G22-C22)</f>
        <v>0.12314128582997719</v>
      </c>
      <c r="I22" s="1" t="str">
        <f>IF(H22&lt;10^-6,"SI","NO")</f>
        <v>NO</v>
      </c>
      <c r="J22" s="1"/>
      <c r="K22" s="1"/>
      <c r="L22" s="1"/>
      <c r="M22" s="1"/>
      <c r="N22" s="1"/>
      <c r="O22" s="1"/>
    </row>
    <row r="23" ht="14.25">
      <c r="A23" s="1"/>
      <c r="B23" s="1">
        <v>6</v>
      </c>
      <c r="C23" s="1">
        <f>G22</f>
        <v>1.8280033091696395</v>
      </c>
      <c r="D23" s="1">
        <f>C22</f>
        <v>1.9511445949996167</v>
      </c>
      <c r="E23" s="1">
        <f>C23^3-C23^2*EXP(-0.5*C23)-3*C23+1</f>
        <v>0.2847371855438654</v>
      </c>
      <c r="F23" s="1">
        <f>D23^3-D23^2*EXP(-0.5*D23)-3*D23+1</f>
        <v>1.1393692329314318</v>
      </c>
      <c r="G23" s="1">
        <f>C23-E23*(C23-D23)/(E23-F23)</f>
        <v>1.7869764096300536</v>
      </c>
      <c r="H23" s="1">
        <f>ABS(G23-C23)</f>
        <v>0.041026899539585937</v>
      </c>
      <c r="I23" s="1" t="str">
        <f>IF(H23&lt;10^-6,"SI","NO")</f>
        <v>NO</v>
      </c>
      <c r="J23" s="1"/>
      <c r="K23" s="1"/>
      <c r="L23" s="1"/>
      <c r="M23" s="1"/>
      <c r="N23" s="1"/>
      <c r="O23" s="1"/>
    </row>
    <row r="24" ht="14.25">
      <c r="A24" s="1"/>
      <c r="B24" s="1">
        <v>7</v>
      </c>
      <c r="C24" s="1">
        <f>G23</f>
        <v>1.7869764096300536</v>
      </c>
      <c r="D24" s="1">
        <f>C23</f>
        <v>1.8280033091696395</v>
      </c>
      <c r="E24" s="1">
        <f>C24^3-C24^2*EXP(-0.5*C24)-3*C24+1</f>
        <v>0.038620707677127442</v>
      </c>
      <c r="F24" s="1">
        <f>D24^3-D24^2*EXP(-0.5*D24)-3*D24+1</f>
        <v>0.2847371855438654</v>
      </c>
      <c r="G24" s="1">
        <f>C24-E24*(C24-D24)/(E24-F24)</f>
        <v>1.7805384502225767</v>
      </c>
      <c r="H24" s="1">
        <f>ABS(G24-C24)</f>
        <v>0.0064379594074768232</v>
      </c>
      <c r="I24" s="1" t="str">
        <f>IF(H24&lt;10^-6,"SI","NO")</f>
        <v>NO</v>
      </c>
      <c r="J24" s="1"/>
      <c r="K24" s="1"/>
      <c r="L24" s="1"/>
      <c r="M24" s="1"/>
      <c r="N24" s="1"/>
      <c r="O24" s="1"/>
    </row>
    <row r="25" ht="14.25">
      <c r="A25" s="1"/>
      <c r="B25" s="1">
        <v>8</v>
      </c>
      <c r="C25" s="1">
        <f>G24</f>
        <v>1.7805384502225767</v>
      </c>
      <c r="D25" s="1">
        <f>C24</f>
        <v>1.7869764096300536</v>
      </c>
      <c r="E25" s="1">
        <f>C25^3-C25^2*EXP(-0.5*C25)-3*C25+1</f>
        <v>0.0016977491485583585</v>
      </c>
      <c r="F25" s="1">
        <f>D25^3-D25^2*EXP(-0.5*D25)-3*D25+1</f>
        <v>0.038620707677127442</v>
      </c>
      <c r="G25" s="1">
        <f>C25-E25*(C25-D25)/(E25-F25)</f>
        <v>1.7802424273539315</v>
      </c>
      <c r="H25" s="1">
        <f>ABS(G25-C25)</f>
        <v>0.00029602286864527372</v>
      </c>
      <c r="I25" s="1" t="str">
        <f>IF(H25&lt;10^-6,"SI","NO")</f>
        <v>NO</v>
      </c>
      <c r="J25" s="1"/>
      <c r="K25" s="1"/>
      <c r="L25" s="1"/>
      <c r="M25" s="1"/>
      <c r="N25" s="1"/>
      <c r="O25" s="1"/>
    </row>
    <row r="26" ht="14.25">
      <c r="A26" s="1"/>
      <c r="B26" s="1">
        <v>9</v>
      </c>
      <c r="C26" s="1">
        <f>G25</f>
        <v>1.7802424273539315</v>
      </c>
      <c r="D26" s="1">
        <f>C25</f>
        <v>1.7805384502225767</v>
      </c>
      <c r="E26" s="1">
        <f>C26^3-C26^2*EXP(-0.5*C26)-3*C26+1</f>
        <v>1.0975357282561049e-05</v>
      </c>
      <c r="F26" s="1">
        <f>D26^3-D26^2*EXP(-0.5*D26)-3*D26+1</f>
        <v>0.0016977491485583585</v>
      </c>
      <c r="G26" s="1">
        <f>C26-E26*(C26-D26)/(E26-F26)</f>
        <v>1.7802405012173244</v>
      </c>
      <c r="H26" s="1">
        <f>ABS(G26-C26)</f>
        <v>1.9261366070999486e-06</v>
      </c>
      <c r="I26" s="1" t="str">
        <f>IF(H26&lt;10^-6,"SI","NO")</f>
        <v>NO</v>
      </c>
      <c r="J26" s="1"/>
      <c r="K26" s="1"/>
      <c r="L26" s="1"/>
      <c r="M26" s="1"/>
      <c r="N26" s="1"/>
      <c r="O26" s="1"/>
    </row>
    <row r="27" ht="14.25">
      <c r="A27" s="1"/>
      <c r="B27" s="1">
        <v>10</v>
      </c>
      <c r="C27" s="1">
        <f>G26</f>
        <v>1.7802405012173244</v>
      </c>
      <c r="D27" s="1">
        <f>C26</f>
        <v>1.7802424273539315</v>
      </c>
      <c r="E27" s="1">
        <f>C27^3-C27^2*EXP(-0.5*C27)-3*C27+1</f>
        <v>3.1556774970908918e-09</v>
      </c>
      <c r="F27" s="1">
        <f>D27^3-D27^2*EXP(-0.5*D27)-3*D27+1</f>
        <v>1.0975357282561049e-05</v>
      </c>
      <c r="G27" s="1">
        <f>C27-E27*(C27-D27)/(E27-F27)</f>
        <v>1.7802405006633548</v>
      </c>
      <c r="H27" s="1">
        <f>ABS(G27-C27)</f>
        <v>5.5396953690944883e-10</v>
      </c>
      <c r="I27" s="1" t="str">
        <f>IF(H27&lt;10^-6,"SI","NO")</f>
        <v>SI</v>
      </c>
      <c r="J27" s="1"/>
      <c r="K27" s="1"/>
      <c r="L27" s="1"/>
      <c r="M27" s="1"/>
      <c r="N27" s="1"/>
      <c r="O27" s="1"/>
    </row>
    <row r="28" ht="14.25">
      <c r="A28" s="1"/>
      <c r="J28" s="1"/>
      <c r="K28" s="1"/>
      <c r="L28" s="1"/>
      <c r="M28" s="1"/>
      <c r="N28" s="1"/>
      <c r="O28" s="1"/>
    </row>
    <row r="29" ht="14.25">
      <c r="A29" s="1"/>
      <c r="J29" s="1"/>
      <c r="K29" s="1"/>
      <c r="L29" s="1"/>
      <c r="M29" s="1"/>
      <c r="N29" s="1"/>
      <c r="O29" s="1"/>
    </row>
    <row r="30" ht="14.25">
      <c r="A30" s="1"/>
      <c r="J30" s="1"/>
      <c r="K30" s="1"/>
      <c r="L30" s="1"/>
      <c r="M30" s="1"/>
      <c r="N30" s="1"/>
      <c r="O30" s="1"/>
    </row>
    <row r="31" ht="14.25">
      <c r="A31" s="1"/>
      <c r="J31" s="1"/>
      <c r="K31" s="1"/>
      <c r="L31" s="1"/>
      <c r="M31" s="1"/>
      <c r="N31" s="1"/>
      <c r="O31" s="1"/>
    </row>
    <row r="32" ht="14.25">
      <c r="A32" s="1"/>
      <c r="J32" s="1"/>
      <c r="K32" s="1"/>
      <c r="L32" s="1"/>
      <c r="M32" s="1"/>
      <c r="N32" s="1"/>
      <c r="O32" s="1"/>
    </row>
    <row r="33" ht="14.25">
      <c r="A33" s="1"/>
      <c r="J33" s="1"/>
      <c r="K33" s="1"/>
      <c r="L33" s="1"/>
      <c r="M33" s="1"/>
      <c r="N33" s="1"/>
      <c r="O33" s="1"/>
    </row>
    <row r="34" ht="14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ht="14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4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ht="14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ht="14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ht="14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ht="14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ht="14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ht="14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2025-12-01T00:22:03Z</dcterms:modified>
</cp:coreProperties>
</file>